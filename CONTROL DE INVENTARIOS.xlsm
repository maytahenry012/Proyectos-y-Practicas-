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TRABAJOS\PORTAFOLIO\"/>
    </mc:Choice>
  </mc:AlternateContent>
  <xr:revisionPtr revIDLastSave="0" documentId="13_ncr:1_{071DA8ED-2701-411E-9392-4D9828203B54}" xr6:coauthVersionLast="47" xr6:coauthVersionMax="47" xr10:uidLastSave="{00000000-0000-0000-0000-000000000000}"/>
  <bookViews>
    <workbookView xWindow="-120" yWindow="-120" windowWidth="20730" windowHeight="11760" activeTab="2" xr2:uid="{EBF8DFD9-26B3-48A0-B965-BF1F90AFF25D}"/>
  </bookViews>
  <sheets>
    <sheet name="Menu" sheetId="1" r:id="rId1"/>
    <sheet name="Entradas" sheetId="2" r:id="rId2"/>
    <sheet name="Salidas" sheetId="3" r:id="rId3"/>
    <sheet name="Inventario" sheetId="4" r:id="rId4"/>
    <sheet name="Dato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C2" i="4"/>
  <c r="D2" i="4"/>
  <c r="E2" i="2"/>
  <c r="E3" i="2"/>
  <c r="A6" i="5"/>
  <c r="E2" i="3"/>
  <c r="E4" i="2"/>
  <c r="D2" i="5"/>
  <c r="D3" i="4"/>
  <c r="C3" i="4"/>
  <c r="B3" i="4"/>
  <c r="B2" i="5" s="1"/>
  <c r="E3" i="3"/>
  <c r="E2" i="4" l="1"/>
  <c r="E3" i="4"/>
  <c r="C2" i="5" s="1"/>
</calcChain>
</file>

<file path=xl/sharedStrings.xml><?xml version="1.0" encoding="utf-8"?>
<sst xmlns="http://schemas.openxmlformats.org/spreadsheetml/2006/main" count="33" uniqueCount="21">
  <si>
    <t>Valor:</t>
  </si>
  <si>
    <t>Fecha:</t>
  </si>
  <si>
    <t>Codigo:</t>
  </si>
  <si>
    <t>Descripcion:</t>
  </si>
  <si>
    <t>Cantidad:</t>
  </si>
  <si>
    <t>REGLA DE OPERACIONES</t>
  </si>
  <si>
    <t>CODIGO</t>
  </si>
  <si>
    <t>DESCRIPCION</t>
  </si>
  <si>
    <t>CANTIDAD</t>
  </si>
  <si>
    <t>PRECIO VENTA</t>
  </si>
  <si>
    <t>FECHA</t>
  </si>
  <si>
    <t>DECRIPCION</t>
  </si>
  <si>
    <t>COSTO</t>
  </si>
  <si>
    <t>ENTRADAS</t>
  </si>
  <si>
    <t>SALIDAS</t>
  </si>
  <si>
    <t>INVENTARIO</t>
  </si>
  <si>
    <t xml:space="preserve">VALOR </t>
  </si>
  <si>
    <t>Tornillo</t>
  </si>
  <si>
    <t>Costo</t>
  </si>
  <si>
    <t>Tuercas</t>
  </si>
  <si>
    <t>Tuerca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</si>
</sst>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Bs&quot;* #,##0_-;\-&quot;Bs&quot;* #,##0_-;_-&quot;Bs&quot;* &quot;-&quot;_-;_-@_-"/>
    <numFmt numFmtId="44" formatCode="_-&quot;Bs&quot;* #,##0.00_-;\-&quot;Bs&quot;* #,##0.00_-;_-&quot;Bs&quot;* &quot;-&quot;??_-;_-@_-"/>
    <numFmt numFmtId="164" formatCode="_-[$Bs-400A]* #,##0_-;\-[$Bs-400A]* #,##0_-;_-[$Bs-400A]* &quot;-&quot;_-;_-@_-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1" applyNumberFormat="1" applyFont="1"/>
    <xf numFmtId="14" fontId="0" fillId="0" borderId="0" xfId="0" applyNumberFormat="1"/>
    <xf numFmtId="0" fontId="3" fillId="2" borderId="1" xfId="0" applyFont="1" applyFill="1" applyBorder="1" applyAlignment="1">
      <alignment horizontal="right"/>
    </xf>
    <xf numFmtId="164" fontId="0" fillId="0" borderId="0" xfId="0" applyNumberFormat="1"/>
    <xf numFmtId="164" fontId="0" fillId="2" borderId="1" xfId="0" applyNumberFormat="1" applyFill="1" applyBorder="1"/>
    <xf numFmtId="14" fontId="0" fillId="2" borderId="1" xfId="0" applyNumberFormat="1" applyFill="1" applyBorder="1"/>
    <xf numFmtId="164" fontId="0" fillId="0" borderId="0" xfId="1" applyNumberFormat="1" applyFont="1" applyAlignment="1">
      <alignment horizontal="left" vertical="center"/>
    </xf>
    <xf numFmtId="0" fontId="5" fillId="0" borderId="0" xfId="2"/>
    <xf numFmtId="14" fontId="0" fillId="0" borderId="0" xfId="0" applyNumberFormat="1" applyAlignment="1">
      <alignment horizontal="right" vertical="center"/>
    </xf>
    <xf numFmtId="42" fontId="0" fillId="0" borderId="0" xfId="0" applyNumberForma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</cellXfs>
  <cellStyles count="3">
    <cellStyle name="Hipervínculo" xfId="2" builtinId="8"/>
    <cellStyle name="Moneda" xfId="1" builtinId="4"/>
    <cellStyle name="Normal" xfId="0" builtinId="0"/>
  </cellStyles>
  <dxfs count="6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[$Bs-400A]* #,##0_-;\-[$Bs-400A]* #,##0_-;_-[$Bs-400A]* &quot;-&quot;_-;_-@_-"/>
    </dxf>
    <dxf>
      <alignment horizontal="left" vertical="center" textRotation="0" wrapText="0" indent="0" justifyLastLine="0" shrinkToFit="0" readingOrder="0"/>
    </dxf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[$Bs-400A]* #,##0_-;\-[$Bs-400A]* #,##0_-;_-[$Bs-400A]* &quot;-&quot;_-;_-@_-"/>
    </dxf>
    <dxf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acros%20resuelto.xlsm#Inventario!A1" TargetMode="External"/><Relationship Id="rId2" Type="http://schemas.openxmlformats.org/officeDocument/2006/relationships/hyperlink" Target="macros%20resuelto.xlsm#Entradas!A1" TargetMode="External"/><Relationship Id="rId1" Type="http://schemas.openxmlformats.org/officeDocument/2006/relationships/hyperlink" Target="macros%20resuelto.xlsm#Salidas!A1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macros%20resuelto.xlsm#Menu!A1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macros%20resuelto.xlsm#Menu!A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9</xdr:row>
      <xdr:rowOff>85725</xdr:rowOff>
    </xdr:from>
    <xdr:to>
      <xdr:col>2</xdr:col>
      <xdr:colOff>180975</xdr:colOff>
      <xdr:row>11</xdr:row>
      <xdr:rowOff>95250</xdr:rowOff>
    </xdr:to>
    <xdr:sp macro="[0]!nuevoregistro" textlink="">
      <xdr:nvSpPr>
        <xdr:cNvPr id="2" name="Rectángulo 1">
          <a:extLst>
            <a:ext uri="{FF2B5EF4-FFF2-40B4-BE49-F238E27FC236}">
              <a16:creationId xmlns:a16="http://schemas.microsoft.com/office/drawing/2014/main" id="{2E7C6698-3DD1-41DC-A52F-380369809E39}"/>
            </a:ext>
          </a:extLst>
        </xdr:cNvPr>
        <xdr:cNvSpPr/>
      </xdr:nvSpPr>
      <xdr:spPr>
        <a:xfrm>
          <a:off x="133350" y="1800225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Nuevo</a:t>
          </a:r>
          <a:r>
            <a:rPr lang="es-BO" sz="1100" baseline="0"/>
            <a:t> Registro</a:t>
          </a:r>
        </a:p>
        <a:p>
          <a:pPr algn="l"/>
          <a:endParaRPr lang="es-BO" sz="1100"/>
        </a:p>
      </xdr:txBody>
    </xdr:sp>
    <xdr:clientData/>
  </xdr:twoCellAnchor>
  <xdr:twoCellAnchor>
    <xdr:from>
      <xdr:col>2</xdr:col>
      <xdr:colOff>257175</xdr:colOff>
      <xdr:row>9</xdr:row>
      <xdr:rowOff>85725</xdr:rowOff>
    </xdr:from>
    <xdr:to>
      <xdr:col>2</xdr:col>
      <xdr:colOff>1285875</xdr:colOff>
      <xdr:row>11</xdr:row>
      <xdr:rowOff>95250</xdr:rowOff>
    </xdr:to>
    <xdr:sp macro="[0]!Buscar" textlink="">
      <xdr:nvSpPr>
        <xdr:cNvPr id="3" name="Rectángulo 2">
          <a:extLst>
            <a:ext uri="{FF2B5EF4-FFF2-40B4-BE49-F238E27FC236}">
              <a16:creationId xmlns:a16="http://schemas.microsoft.com/office/drawing/2014/main" id="{1D5FE86D-77B9-4239-A23C-417D89586D14}"/>
            </a:ext>
          </a:extLst>
        </xdr:cNvPr>
        <xdr:cNvSpPr/>
      </xdr:nvSpPr>
      <xdr:spPr>
        <a:xfrm>
          <a:off x="1238250" y="1800225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Buscar</a:t>
          </a:r>
        </a:p>
      </xdr:txBody>
    </xdr:sp>
    <xdr:clientData/>
  </xdr:twoCellAnchor>
  <xdr:twoCellAnchor>
    <xdr:from>
      <xdr:col>2</xdr:col>
      <xdr:colOff>1381125</xdr:colOff>
      <xdr:row>9</xdr:row>
      <xdr:rowOff>76200</xdr:rowOff>
    </xdr:from>
    <xdr:to>
      <xdr:col>5</xdr:col>
      <xdr:colOff>95250</xdr:colOff>
      <xdr:row>11</xdr:row>
      <xdr:rowOff>85725</xdr:rowOff>
    </xdr:to>
    <xdr:sp macro="[0]!ingresos" textlink="">
      <xdr:nvSpPr>
        <xdr:cNvPr id="4" name="Rectángulo 3">
          <a:extLst>
            <a:ext uri="{FF2B5EF4-FFF2-40B4-BE49-F238E27FC236}">
              <a16:creationId xmlns:a16="http://schemas.microsoft.com/office/drawing/2014/main" id="{3D659A5F-A835-43E5-B506-069B0F9D92D2}"/>
            </a:ext>
          </a:extLst>
        </xdr:cNvPr>
        <xdr:cNvSpPr/>
      </xdr:nvSpPr>
      <xdr:spPr>
        <a:xfrm>
          <a:off x="2362200" y="1790700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Ingresos</a:t>
          </a:r>
        </a:p>
      </xdr:txBody>
    </xdr:sp>
    <xdr:clientData/>
  </xdr:twoCellAnchor>
  <xdr:twoCellAnchor>
    <xdr:from>
      <xdr:col>5</xdr:col>
      <xdr:colOff>200025</xdr:colOff>
      <xdr:row>9</xdr:row>
      <xdr:rowOff>66675</xdr:rowOff>
    </xdr:from>
    <xdr:to>
      <xdr:col>7</xdr:col>
      <xdr:colOff>0</xdr:colOff>
      <xdr:row>11</xdr:row>
      <xdr:rowOff>76200</xdr:rowOff>
    </xdr:to>
    <xdr:sp macro="[0]!salidas" textlink="">
      <xdr:nvSpPr>
        <xdr:cNvPr id="5" name="Rectángulo 4">
          <a:extLst>
            <a:ext uri="{FF2B5EF4-FFF2-40B4-BE49-F238E27FC236}">
              <a16:creationId xmlns:a16="http://schemas.microsoft.com/office/drawing/2014/main" id="{6FC43878-4CDF-4EC2-9A86-43C47BDCA61F}"/>
            </a:ext>
          </a:extLst>
        </xdr:cNvPr>
        <xdr:cNvSpPr/>
      </xdr:nvSpPr>
      <xdr:spPr>
        <a:xfrm>
          <a:off x="3495675" y="1781175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Salidas</a:t>
          </a:r>
        </a:p>
      </xdr:txBody>
    </xdr:sp>
    <xdr:clientData/>
  </xdr:twoCellAnchor>
  <xdr:twoCellAnchor>
    <xdr:from>
      <xdr:col>5</xdr:col>
      <xdr:colOff>200025</xdr:colOff>
      <xdr:row>12</xdr:row>
      <xdr:rowOff>28575</xdr:rowOff>
    </xdr:from>
    <xdr:to>
      <xdr:col>7</xdr:col>
      <xdr:colOff>0</xdr:colOff>
      <xdr:row>14</xdr:row>
      <xdr:rowOff>38100</xdr:rowOff>
    </xdr:to>
    <xdr:sp macro="" textlink="">
      <xdr:nvSpPr>
        <xdr:cNvPr id="6" name="Rectá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ACC482-69EB-4339-9437-C250A646A670}"/>
            </a:ext>
          </a:extLst>
        </xdr:cNvPr>
        <xdr:cNvSpPr/>
      </xdr:nvSpPr>
      <xdr:spPr>
        <a:xfrm>
          <a:off x="3495675" y="2286000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Ir a Salidas</a:t>
          </a:r>
        </a:p>
      </xdr:txBody>
    </xdr:sp>
    <xdr:clientData/>
  </xdr:twoCellAnchor>
  <xdr:twoCellAnchor>
    <xdr:from>
      <xdr:col>2</xdr:col>
      <xdr:colOff>1390650</xdr:colOff>
      <xdr:row>12</xdr:row>
      <xdr:rowOff>19050</xdr:rowOff>
    </xdr:from>
    <xdr:to>
      <xdr:col>5</xdr:col>
      <xdr:colOff>104775</xdr:colOff>
      <xdr:row>14</xdr:row>
      <xdr:rowOff>28575</xdr:rowOff>
    </xdr:to>
    <xdr:sp macro="" textlink="">
      <xdr:nvSpPr>
        <xdr:cNvPr id="7" name="Rectá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B3C78C-F6A8-466C-A524-8DA81C811D79}"/>
            </a:ext>
          </a:extLst>
        </xdr:cNvPr>
        <xdr:cNvSpPr/>
      </xdr:nvSpPr>
      <xdr:spPr>
        <a:xfrm>
          <a:off x="2371725" y="2276475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Ir a Entradas</a:t>
          </a:r>
        </a:p>
      </xdr:txBody>
    </xdr:sp>
    <xdr:clientData/>
  </xdr:twoCellAnchor>
  <xdr:twoCellAnchor>
    <xdr:from>
      <xdr:col>2</xdr:col>
      <xdr:colOff>266700</xdr:colOff>
      <xdr:row>12</xdr:row>
      <xdr:rowOff>28575</xdr:rowOff>
    </xdr:from>
    <xdr:to>
      <xdr:col>2</xdr:col>
      <xdr:colOff>1295400</xdr:colOff>
      <xdr:row>14</xdr:row>
      <xdr:rowOff>38100</xdr:rowOff>
    </xdr:to>
    <xdr:sp macro="" textlink="">
      <xdr:nvSpPr>
        <xdr:cNvPr id="8" name="Rectá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30D7F70-B62F-4F24-8EFE-D2E1B380F23F}"/>
            </a:ext>
          </a:extLst>
        </xdr:cNvPr>
        <xdr:cNvSpPr/>
      </xdr:nvSpPr>
      <xdr:spPr>
        <a:xfrm>
          <a:off x="1247775" y="2286000"/>
          <a:ext cx="1028700" cy="37147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Ir</a:t>
          </a:r>
          <a:r>
            <a:rPr lang="es-BO" sz="1100" baseline="0"/>
            <a:t> a Inventario</a:t>
          </a:r>
          <a:endParaRPr lang="es-BO" sz="1100"/>
        </a:p>
      </xdr:txBody>
    </xdr:sp>
    <xdr:clientData/>
  </xdr:twoCellAnchor>
  <xdr:twoCellAnchor>
    <xdr:from>
      <xdr:col>0</xdr:col>
      <xdr:colOff>139211</xdr:colOff>
      <xdr:row>12</xdr:row>
      <xdr:rowOff>26377</xdr:rowOff>
    </xdr:from>
    <xdr:to>
      <xdr:col>2</xdr:col>
      <xdr:colOff>183173</xdr:colOff>
      <xdr:row>14</xdr:row>
      <xdr:rowOff>35902</xdr:rowOff>
    </xdr:to>
    <xdr:sp macro="[0]!nuevocodigo" textlink="">
      <xdr:nvSpPr>
        <xdr:cNvPr id="9" name="Rectángulo 8">
          <a:extLst>
            <a:ext uri="{FF2B5EF4-FFF2-40B4-BE49-F238E27FC236}">
              <a16:creationId xmlns:a16="http://schemas.microsoft.com/office/drawing/2014/main" id="{47582A4F-4571-4BE9-B3B0-A8F4D39FFA62}"/>
            </a:ext>
          </a:extLst>
        </xdr:cNvPr>
        <xdr:cNvSpPr/>
      </xdr:nvSpPr>
      <xdr:spPr>
        <a:xfrm>
          <a:off x="139211" y="2290396"/>
          <a:ext cx="1025770" cy="375871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Nuevo Codigo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0</xdr:row>
      <xdr:rowOff>19050</xdr:rowOff>
    </xdr:from>
    <xdr:to>
      <xdr:col>7</xdr:col>
      <xdr:colOff>428625</xdr:colOff>
      <xdr:row>0</xdr:row>
      <xdr:rowOff>247650</xdr:rowOff>
    </xdr:to>
    <xdr:sp macro="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65A823-F8E5-49D4-DA6F-DE182E5FDC6A}"/>
            </a:ext>
          </a:extLst>
        </xdr:cNvPr>
        <xdr:cNvSpPr/>
      </xdr:nvSpPr>
      <xdr:spPr>
        <a:xfrm>
          <a:off x="5610225" y="19050"/>
          <a:ext cx="933450" cy="228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/>
            <a:t>IR CONTROL</a:t>
          </a:r>
        </a:p>
        <a:p>
          <a:pPr algn="l"/>
          <a:endParaRPr lang="es-BO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19051</xdr:rowOff>
    </xdr:from>
    <xdr:to>
      <xdr:col>7</xdr:col>
      <xdr:colOff>247650</xdr:colOff>
      <xdr:row>0</xdr:row>
      <xdr:rowOff>247650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0DE8431-91F8-F5AA-0607-2967C87465E8}"/>
            </a:ext>
          </a:extLst>
        </xdr:cNvPr>
        <xdr:cNvSpPr/>
      </xdr:nvSpPr>
      <xdr:spPr>
        <a:xfrm>
          <a:off x="5295900" y="19051"/>
          <a:ext cx="933450" cy="22859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/>
            <a:t>IR</a:t>
          </a:r>
          <a:r>
            <a:rPr lang="es-BO" sz="1100" baseline="0"/>
            <a:t> CONTROL</a:t>
          </a:r>
        </a:p>
        <a:p>
          <a:pPr algn="l"/>
          <a:endParaRPr lang="es-BO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246565-6C2A-40C8-820C-061D86BD558B}" name="Tabla3" displayName="Tabla3" ref="A1:F4" totalsRowShown="0" headerRowDxfId="5">
  <autoFilter ref="A1:F4" xr:uid="{32246565-6C2A-40C8-820C-061D86BD558B}"/>
  <tableColumns count="6">
    <tableColumn id="1" xr3:uid="{03AB3C05-5702-4E0F-9F12-2ABEC8ECD594}" name="CODIGO"/>
    <tableColumn id="2" xr3:uid="{3FFE84DC-04F9-4352-B033-1E2F33688DC2}" name="DESCRIPCION"/>
    <tableColumn id="3" xr3:uid="{AB05C175-4B8A-4B53-AEBC-F02DF187ABB8}" name="CANTIDAD"/>
    <tableColumn id="4" xr3:uid="{1E12F2F7-EAC7-4D42-97C5-29DCE6969670}" name="Costo"/>
    <tableColumn id="5" xr3:uid="{25F4D8C8-808A-4EEC-A884-0BA6EBFA0400}" name="PRECIO VENTA" dataDxfId="4" dataCellStyle="Moneda">
      <calculatedColumnFormula>+D2/(1-30%)</calculatedColumnFormula>
    </tableColumn>
    <tableColumn id="6" xr3:uid="{BB32EE4B-3B44-4C79-A344-9A047A830522}" name="FECHA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6364-0B8B-4BDB-A87B-74E79D086B8E}" name="Tabla2" displayName="Tabla2" ref="A1:F3" totalsRowShown="0" headerRowDxfId="2">
  <autoFilter ref="A1:F3" xr:uid="{AFE66364-0B8B-4BDB-A87B-74E79D086B8E}"/>
  <tableColumns count="6">
    <tableColumn id="1" xr3:uid="{30F9B3B3-B8D2-404E-93B4-DB5D26A491E7}" name="CODIGO"/>
    <tableColumn id="2" xr3:uid="{8C44F52B-0CC5-4E2D-9906-20DFFC71FD8C}" name="DECRIPCION"/>
    <tableColumn id="3" xr3:uid="{BB8C77E5-AA00-453F-9290-985C23156B3B}" name="CANTIDAD"/>
    <tableColumn id="4" xr3:uid="{1543FA84-53BC-45F0-A517-03B7B140F466}" name="COSTO"/>
    <tableColumn id="5" xr3:uid="{909B3805-4143-499B-8DCD-3B6FC9FD8ED3}" name="PRECIO VENTA" dataDxfId="1" dataCellStyle="Moneda">
      <calculatedColumnFormula>+D2/(1-30%)</calculatedColumnFormula>
    </tableColumn>
    <tableColumn id="6" xr3:uid="{7644DD5B-C333-4D85-8C02-336A5AF02037}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B6E309-5BE5-4BAD-BADC-FA92BC04003B}" name="Tabla4" displayName="Tabla4" ref="A1:E3" totalsRowShown="0">
  <autoFilter ref="A1:E3" xr:uid="{F7B6E309-5BE5-4BAD-BADC-FA92BC04003B}"/>
  <tableColumns count="5">
    <tableColumn id="1" xr3:uid="{05E31EB2-50EE-4EF4-89C3-4B2CA811A85A}" name="CODIGO"/>
    <tableColumn id="2" xr3:uid="{58C8BF2B-0B2B-450C-ACD7-B35E1C1309C4}" name="DESCRIPCION">
      <calculatedColumnFormula>IFERROR(VLOOKUP(A2,Entradas!A:C,2,0),"")</calculatedColumnFormula>
    </tableColumn>
    <tableColumn id="3" xr3:uid="{9D6B5962-AB28-4E54-8C8A-C7100ED6483D}" name="ENTRADAS">
      <calculatedColumnFormula>SUMIF(Entradas!A:A,Inventario!A2,Entradas!C:C)</calculatedColumnFormula>
    </tableColumn>
    <tableColumn id="4" xr3:uid="{3C448AB4-379A-4223-8D85-13C661A54C11}" name="SALIDAS">
      <calculatedColumnFormula>SUMIF(Salidas!A:A,Inventario!A2,Salidas!C:C)</calculatedColumnFormula>
    </tableColumn>
    <tableColumn id="5" xr3:uid="{746A75C2-B576-4954-92A1-6B56C47A8A0B}" name="INVENTARIO">
      <calculatedColumnFormula>+C2-D2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NTROL%20DE%20INVENTARIO.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TROL%20DE%20INVENTARIO.xlsx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CONTROL%20DE%20INVENTARIO.xlsx" TargetMode="External"/><Relationship Id="rId1" Type="http://schemas.openxmlformats.org/officeDocument/2006/relationships/hyperlink" Target="CONTROL%20DE%20INVENTARIO.xlsx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A4FF6-10DD-4A85-BF4A-FAF798E0CE06}">
  <sheetPr codeName="Hoja1"/>
  <dimension ref="A1:G9"/>
  <sheetViews>
    <sheetView zoomScale="130" zoomScaleNormal="130" workbookViewId="0">
      <selection activeCell="E16" sqref="E16"/>
    </sheetView>
  </sheetViews>
  <sheetFormatPr baseColWidth="10" defaultRowHeight="15" x14ac:dyDescent="0.25"/>
  <cols>
    <col min="1" max="1" width="1.85546875" bestFit="1" customWidth="1"/>
    <col min="2" max="2" width="12.7109375" customWidth="1"/>
    <col min="3" max="3" width="22.140625" customWidth="1"/>
    <col min="4" max="4" width="1.85546875" bestFit="1" customWidth="1"/>
    <col min="5" max="5" width="10.28515625" customWidth="1"/>
    <col min="6" max="6" width="14.28515625" customWidth="1"/>
    <col min="7" max="7" width="4.28515625" customWidth="1"/>
  </cols>
  <sheetData>
    <row r="1" spans="1:7" x14ac:dyDescent="0.25">
      <c r="A1" s="20"/>
      <c r="B1" s="23" t="s">
        <v>5</v>
      </c>
      <c r="C1" s="24"/>
      <c r="D1" s="24"/>
      <c r="E1" s="24"/>
      <c r="F1" s="24"/>
      <c r="G1" s="25"/>
    </row>
    <row r="2" spans="1:7" ht="15.75" thickBot="1" x14ac:dyDescent="0.3">
      <c r="B2" s="26"/>
      <c r="C2" s="27"/>
      <c r="D2" s="27"/>
      <c r="E2" s="27"/>
      <c r="F2" s="27"/>
      <c r="G2" s="28"/>
    </row>
    <row r="3" spans="1:7" ht="15.75" thickBot="1" x14ac:dyDescent="0.3">
      <c r="B3" s="2"/>
      <c r="C3" s="3"/>
      <c r="D3" s="3"/>
      <c r="E3" s="3"/>
      <c r="F3" s="3"/>
      <c r="G3" s="4"/>
    </row>
    <row r="4" spans="1:7" ht="15.75" thickBot="1" x14ac:dyDescent="0.3">
      <c r="B4" s="5" t="s">
        <v>2</v>
      </c>
      <c r="C4" s="10"/>
      <c r="D4" s="3"/>
      <c r="E4" s="6" t="s">
        <v>0</v>
      </c>
      <c r="F4" s="17"/>
      <c r="G4" s="4"/>
    </row>
    <row r="5" spans="1:7" ht="15.75" thickBot="1" x14ac:dyDescent="0.3">
      <c r="B5" s="2"/>
      <c r="C5" s="3"/>
      <c r="D5" s="3"/>
      <c r="E5" s="3"/>
      <c r="F5" s="3"/>
      <c r="G5" s="4"/>
    </row>
    <row r="6" spans="1:7" ht="15.75" thickBot="1" x14ac:dyDescent="0.3">
      <c r="B6" s="5" t="s">
        <v>3</v>
      </c>
      <c r="C6" s="15"/>
      <c r="D6" s="3"/>
      <c r="E6" s="6" t="s">
        <v>1</v>
      </c>
      <c r="F6" s="18"/>
      <c r="G6" s="4"/>
    </row>
    <row r="7" spans="1:7" ht="15.75" thickBot="1" x14ac:dyDescent="0.3">
      <c r="B7" s="2"/>
      <c r="C7" s="3"/>
      <c r="D7" s="3"/>
      <c r="E7" s="3"/>
      <c r="F7" s="3"/>
      <c r="G7" s="4"/>
    </row>
    <row r="8" spans="1:7" ht="15.75" thickBot="1" x14ac:dyDescent="0.3">
      <c r="B8" s="5" t="s">
        <v>4</v>
      </c>
      <c r="C8" s="10"/>
      <c r="D8" s="3"/>
      <c r="E8" s="3"/>
      <c r="F8" s="3"/>
      <c r="G8" s="4"/>
    </row>
    <row r="9" spans="1:7" ht="15.75" thickBot="1" x14ac:dyDescent="0.3">
      <c r="B9" s="7"/>
      <c r="C9" s="8"/>
      <c r="D9" s="8"/>
      <c r="E9" s="8"/>
      <c r="F9" s="8"/>
      <c r="G9" s="9"/>
    </row>
  </sheetData>
  <mergeCells count="1">
    <mergeCell ref="B1:G2"/>
  </mergeCells>
  <hyperlinks>
    <hyperlink ref="A1" r:id="rId1" location="Inventario!A1" display="CONTROL DE INVENTARIO.xlsx - Inventario!A1" xr:uid="{00EF25A6-5E3D-4540-AF89-E89FDB406836}"/>
  </hyperlinks>
  <pageMargins left="0.7" right="0.7" top="0.75" bottom="0.75" header="0.3" footer="0.3"/>
  <pageSetup paperSize="9" orientation="portrait" horizontalDpi="360" verticalDpi="36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5A683-97B5-4A33-B86C-B87C42970385}">
  <sheetPr codeName="Hoja2"/>
  <dimension ref="A1:H8"/>
  <sheetViews>
    <sheetView workbookViewId="0">
      <selection activeCell="A2" sqref="A2:XFD2"/>
    </sheetView>
  </sheetViews>
  <sheetFormatPr baseColWidth="10" defaultRowHeight="15" x14ac:dyDescent="0.25"/>
  <cols>
    <col min="1" max="1" width="10.42578125" customWidth="1"/>
    <col min="2" max="2" width="20.5703125" customWidth="1"/>
    <col min="3" max="3" width="12.28515625" customWidth="1"/>
    <col min="4" max="4" width="8" customWidth="1"/>
    <col min="5" max="5" width="16.7109375" bestFit="1" customWidth="1"/>
    <col min="6" max="6" width="12.28515625" customWidth="1"/>
  </cols>
  <sheetData>
    <row r="1" spans="1:8" ht="21.75" customHeight="1" x14ac:dyDescent="0.25">
      <c r="A1" s="11" t="s">
        <v>6</v>
      </c>
      <c r="B1" s="11" t="s">
        <v>7</v>
      </c>
      <c r="C1" s="11" t="s">
        <v>8</v>
      </c>
      <c r="D1" s="11" t="s">
        <v>18</v>
      </c>
      <c r="E1" s="11" t="s">
        <v>9</v>
      </c>
      <c r="F1" s="11" t="s">
        <v>10</v>
      </c>
      <c r="G1" s="12"/>
    </row>
    <row r="2" spans="1:8" ht="21.75" customHeight="1" x14ac:dyDescent="0.25">
      <c r="A2" s="1">
        <v>129</v>
      </c>
      <c r="B2" s="11" t="s">
        <v>17</v>
      </c>
      <c r="C2" s="1">
        <v>25</v>
      </c>
      <c r="D2" s="1">
        <v>71.428571428571431</v>
      </c>
      <c r="E2" s="11">
        <f>+D2/(1-30%)</f>
        <v>102.04081632653062</v>
      </c>
      <c r="F2" s="1">
        <v>129</v>
      </c>
      <c r="G2" s="12"/>
    </row>
    <row r="3" spans="1:8" ht="21.75" customHeight="1" x14ac:dyDescent="0.25">
      <c r="A3" s="1">
        <v>129</v>
      </c>
      <c r="B3" s="11" t="s">
        <v>20</v>
      </c>
      <c r="C3" s="1">
        <v>25</v>
      </c>
      <c r="D3" s="1">
        <v>30</v>
      </c>
      <c r="E3" s="11">
        <f>+D3/(1-30%)</f>
        <v>42.857142857142861</v>
      </c>
      <c r="F3" s="1">
        <v>45590</v>
      </c>
      <c r="G3" s="12"/>
    </row>
    <row r="4" spans="1:8" x14ac:dyDescent="0.25">
      <c r="A4">
        <v>123</v>
      </c>
      <c r="B4" t="s">
        <v>17</v>
      </c>
      <c r="C4">
        <v>30</v>
      </c>
      <c r="D4">
        <v>50</v>
      </c>
      <c r="E4" s="22">
        <f t="shared" ref="E4" si="0">+D4/(1-30%)</f>
        <v>71.428571428571431</v>
      </c>
      <c r="F4" s="14">
        <v>45810</v>
      </c>
    </row>
    <row r="8" spans="1:8" x14ac:dyDescent="0.25">
      <c r="H8" s="20"/>
    </row>
  </sheetData>
  <hyperlinks>
    <hyperlink ref="H8" r:id="rId1" location="Menu!A1" display="CONTROL DE INVENTARIO.xlsx - Menu!A1" xr:uid="{72EE67AD-6261-4521-A738-F15C1F89645B}"/>
  </hyperlinks>
  <pageMargins left="0.7" right="0.7" top="0.75" bottom="0.75" header="0.3" footer="0.3"/>
  <pageSetup paperSize="9" orientation="portrait" horizontalDpi="360" verticalDpi="360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5AAE8-5488-453D-B12F-93001522BD18}">
  <sheetPr codeName="Hoja3"/>
  <dimension ref="A1:G5"/>
  <sheetViews>
    <sheetView tabSelected="1" workbookViewId="0">
      <selection activeCell="A2" sqref="A2:XFD2"/>
    </sheetView>
  </sheetViews>
  <sheetFormatPr baseColWidth="10" defaultRowHeight="15" x14ac:dyDescent="0.25"/>
  <cols>
    <col min="1" max="1" width="10.42578125" customWidth="1"/>
    <col min="2" max="2" width="17.42578125" customWidth="1"/>
    <col min="3" max="3" width="12.28515625" customWidth="1"/>
    <col min="4" max="4" width="9.5703125" customWidth="1"/>
    <col min="5" max="5" width="16.5703125" customWidth="1"/>
    <col min="6" max="6" width="12" customWidth="1"/>
  </cols>
  <sheetData>
    <row r="1" spans="1:7" ht="24.75" customHeight="1" x14ac:dyDescent="0.25">
      <c r="A1" s="11" t="s">
        <v>6</v>
      </c>
      <c r="B1" s="11" t="s">
        <v>11</v>
      </c>
      <c r="C1" s="11" t="s">
        <v>8</v>
      </c>
      <c r="D1" s="11" t="s">
        <v>12</v>
      </c>
      <c r="E1" s="11" t="s">
        <v>9</v>
      </c>
      <c r="F1" s="11" t="s">
        <v>10</v>
      </c>
    </row>
    <row r="2" spans="1:7" x14ac:dyDescent="0.25">
      <c r="A2" s="1">
        <v>125</v>
      </c>
      <c r="B2" s="11" t="s">
        <v>19</v>
      </c>
      <c r="C2" s="11">
        <v>30</v>
      </c>
      <c r="D2" s="11">
        <v>20</v>
      </c>
      <c r="E2" s="19">
        <f>+D2/(1-30%)</f>
        <v>28.571428571428573</v>
      </c>
      <c r="F2" s="21">
        <v>45786</v>
      </c>
    </row>
    <row r="3" spans="1:7" x14ac:dyDescent="0.25">
      <c r="A3">
        <v>123</v>
      </c>
      <c r="B3" t="s">
        <v>17</v>
      </c>
      <c r="C3">
        <v>5</v>
      </c>
      <c r="D3">
        <v>50</v>
      </c>
      <c r="E3" s="13">
        <f>+D3/(1-30%)</f>
        <v>71.428571428571431</v>
      </c>
      <c r="F3" s="14">
        <v>45811</v>
      </c>
    </row>
    <row r="4" spans="1:7" x14ac:dyDescent="0.25">
      <c r="F4" s="14"/>
      <c r="G4" s="20"/>
    </row>
    <row r="5" spans="1:7" x14ac:dyDescent="0.25">
      <c r="G5" s="20"/>
    </row>
  </sheetData>
  <hyperlinks>
    <hyperlink ref="G5" r:id="rId1" location="Menu!A1" display="CONTROL DE INVENTARIO.xlsx - Menu!A1" xr:uid="{588169AE-CC0F-409A-9E66-9356CD71B6CF}"/>
    <hyperlink ref="G4" r:id="rId2" location="Menu!A1" display="CONTROL DE INVENTARIO.xlsx - Menu!A1" xr:uid="{0AF477A1-8F86-40A6-87BF-8B076EFC1B48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51D9-BEFC-438A-B557-8C15E89FA32E}">
  <sheetPr codeName="Hoja4"/>
  <dimension ref="A1:E3"/>
  <sheetViews>
    <sheetView workbookViewId="0"/>
  </sheetViews>
  <sheetFormatPr baseColWidth="10" defaultRowHeight="15" x14ac:dyDescent="0.25"/>
  <cols>
    <col min="1" max="1" width="10.42578125" customWidth="1"/>
    <col min="2" max="2" width="20.42578125" customWidth="1"/>
    <col min="3" max="3" width="12.85546875" customWidth="1"/>
    <col min="4" max="4" width="10.42578125" customWidth="1"/>
    <col min="5" max="5" width="14.140625" customWidth="1"/>
  </cols>
  <sheetData>
    <row r="1" spans="1:5" x14ac:dyDescent="0.25">
      <c r="A1" t="s">
        <v>6</v>
      </c>
      <c r="B1" t="s">
        <v>7</v>
      </c>
      <c r="C1" t="s">
        <v>13</v>
      </c>
      <c r="D1" t="s">
        <v>14</v>
      </c>
      <c r="E1" t="s">
        <v>15</v>
      </c>
    </row>
    <row r="2" spans="1:5" x14ac:dyDescent="0.25">
      <c r="A2">
        <v>129</v>
      </c>
      <c r="B2" t="str">
        <f>IFERROR(VLOOKUP(A2,Entradas!A:C,2,0),"")</f>
        <v>Tornillo</v>
      </c>
      <c r="C2">
        <f>SUMIF(Entradas!A:A,Inventario!A2,Entradas!C:C)</f>
        <v>50</v>
      </c>
      <c r="D2">
        <f>SUMIF(Salidas!A:A,Inventario!A2,Salidas!C:C)</f>
        <v>0</v>
      </c>
      <c r="E2">
        <f>+C2-D2</f>
        <v>50</v>
      </c>
    </row>
    <row r="3" spans="1:5" x14ac:dyDescent="0.25">
      <c r="A3">
        <v>123</v>
      </c>
      <c r="B3" t="str">
        <f>IFERROR(VLOOKUP(A3,Entradas!A:C,2,0),"")</f>
        <v>Tornillo</v>
      </c>
      <c r="C3">
        <f>SUMIF(Entradas!A:A,Inventario!A3,Entradas!C:C)</f>
        <v>30</v>
      </c>
      <c r="D3">
        <f>SUMIF(Salidas!A:A,Inventario!A3,Salidas!C:C)</f>
        <v>5</v>
      </c>
      <c r="E3">
        <f>+C3-D3</f>
        <v>25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135F-1974-4A54-B02C-0222A303E546}">
  <sheetPr codeName="Hoja5"/>
  <dimension ref="A1:E6"/>
  <sheetViews>
    <sheetView workbookViewId="0">
      <selection activeCell="B6" sqref="B6"/>
    </sheetView>
  </sheetViews>
  <sheetFormatPr baseColWidth="10" defaultRowHeight="15" x14ac:dyDescent="0.25"/>
  <cols>
    <col min="1" max="1" width="8.42578125" bestFit="1" customWidth="1"/>
    <col min="2" max="2" width="20.42578125" customWidth="1"/>
    <col min="3" max="3" width="10" bestFit="1" customWidth="1"/>
    <col min="4" max="4" width="8.85546875" bestFit="1" customWidth="1"/>
  </cols>
  <sheetData>
    <row r="1" spans="1:5" x14ac:dyDescent="0.25">
      <c r="A1" t="s">
        <v>6</v>
      </c>
      <c r="B1" t="s">
        <v>7</v>
      </c>
      <c r="C1" t="s">
        <v>8</v>
      </c>
      <c r="D1" t="s">
        <v>16</v>
      </c>
      <c r="E1" t="s">
        <v>10</v>
      </c>
    </row>
    <row r="2" spans="1:5" x14ac:dyDescent="0.25">
      <c r="A2">
        <v>123</v>
      </c>
      <c r="B2" t="str">
        <f>IFERROR(VLOOKUP(A2,Inventario!A:E,2,0),"")</f>
        <v>Tornillo</v>
      </c>
      <c r="C2">
        <f>IFERROR(VLOOKUP(A2,Inventario!A:E,5,),"")</f>
        <v>25</v>
      </c>
      <c r="D2" s="16">
        <f>IFERROR(VLOOKUP(A2,Entradas!A:E,5,0),"")</f>
        <v>71.428571428571431</v>
      </c>
      <c r="E2" s="14">
        <v>129</v>
      </c>
    </row>
    <row r="6" spans="1:5" x14ac:dyDescent="0.25">
      <c r="A6">
        <f>MAX(Inventario!A:A)</f>
        <v>129</v>
      </c>
      <c r="B6">
        <v>129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Menu</vt:lpstr>
      <vt:lpstr>Entradas</vt:lpstr>
      <vt:lpstr>Salidas</vt:lpstr>
      <vt:lpstr>Inventario</vt:lpstr>
      <vt:lpstr>Dato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mayta mamani</dc:creator>
  <cp:lastModifiedBy>henry mayta mamani</cp:lastModifiedBy>
  <dcterms:created xsi:type="dcterms:W3CDTF">2025-06-07T23:06:08Z</dcterms:created>
  <dcterms:modified xsi:type="dcterms:W3CDTF">2025-06-08T03:24:42Z</dcterms:modified>
</cp:coreProperties>
</file>