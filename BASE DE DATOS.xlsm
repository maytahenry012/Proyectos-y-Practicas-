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TRABAJOS\PORTAFOLIO\"/>
    </mc:Choice>
  </mc:AlternateContent>
  <xr:revisionPtr revIDLastSave="0" documentId="13_ncr:1_{558A1BE2-C1D9-4F21-88E8-02FDEE00F497}" xr6:coauthVersionLast="47" xr6:coauthVersionMax="47" xr10:uidLastSave="{00000000-0000-0000-0000-000000000000}"/>
  <bookViews>
    <workbookView xWindow="-120" yWindow="-120" windowWidth="20730" windowHeight="11760" xr2:uid="{0333DE0B-7D37-4504-AC98-2DB75B9507FF}"/>
  </bookViews>
  <sheets>
    <sheet name="Interfaz" sheetId="1" r:id="rId1"/>
    <sheet name="Base de Datos" sheetId="2" r:id="rId2"/>
    <sheet name="Dat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D2" i="3"/>
  <c r="C2" i="3"/>
  <c r="B2" i="3"/>
</calcChain>
</file>

<file path=xl/sharedStrings.xml><?xml version="1.0" encoding="utf-8"?>
<sst xmlns="http://schemas.openxmlformats.org/spreadsheetml/2006/main" count="51" uniqueCount="34">
  <si>
    <t>BASE DE DATOS</t>
  </si>
  <si>
    <t>CI:</t>
  </si>
  <si>
    <t>NOMBRE:</t>
  </si>
  <si>
    <t>APELLIDOS:</t>
  </si>
  <si>
    <t>DIRECCION:</t>
  </si>
  <si>
    <t>TELEFONO:</t>
  </si>
  <si>
    <t>CI</t>
  </si>
  <si>
    <t>NOMBRES</t>
  </si>
  <si>
    <t>APELLIDOS</t>
  </si>
  <si>
    <t>DIRECCION</t>
  </si>
  <si>
    <t>TELEFONO</t>
  </si>
  <si>
    <t>Henry</t>
  </si>
  <si>
    <t>Mayta</t>
  </si>
  <si>
    <t>Ayacucho entre petot y linares</t>
  </si>
  <si>
    <t>Jhonatan</t>
  </si>
  <si>
    <t>Borda</t>
  </si>
  <si>
    <t>Maria</t>
  </si>
  <si>
    <t>Sanchez</t>
  </si>
  <si>
    <t>6 de octubre bolivar</t>
  </si>
  <si>
    <t>Luis</t>
  </si>
  <si>
    <t>Gonzales</t>
  </si>
  <si>
    <t>Circulvalacion</t>
  </si>
  <si>
    <t>Jhonny</t>
  </si>
  <si>
    <t>Nueva esperanza</t>
  </si>
  <si>
    <t>Erick</t>
  </si>
  <si>
    <t>carlos</t>
  </si>
  <si>
    <t>Martinez</t>
  </si>
  <si>
    <t>Urbanizacion benina pinto</t>
  </si>
  <si>
    <t>Nayeli</t>
  </si>
  <si>
    <t>Suarez</t>
  </si>
  <si>
    <t>Aurora</t>
  </si>
  <si>
    <t>7853645-or</t>
  </si>
  <si>
    <t>Simon</t>
  </si>
  <si>
    <t>petot ayacucho linares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</si>
</sst>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3" borderId="1" xfId="0" applyFont="1" applyFill="1" applyBorder="1"/>
    <xf numFmtId="0" fontId="0" fillId="3" borderId="1" xfId="0" applyFill="1" applyBorder="1"/>
    <xf numFmtId="0" fontId="0" fillId="4" borderId="10" xfId="0" applyFont="1" applyFill="1" applyBorder="1"/>
    <xf numFmtId="0" fontId="0" fillId="3" borderId="1" xfId="0" applyFon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9</xdr:row>
      <xdr:rowOff>114300</xdr:rowOff>
    </xdr:from>
    <xdr:to>
      <xdr:col>2</xdr:col>
      <xdr:colOff>657225</xdr:colOff>
      <xdr:row>11</xdr:row>
      <xdr:rowOff>19050</xdr:rowOff>
    </xdr:to>
    <xdr:sp macro="[0]!consult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A6B24D4-65F9-6D2F-8BEC-9CC020AB32D1}"/>
            </a:ext>
          </a:extLst>
        </xdr:cNvPr>
        <xdr:cNvSpPr/>
      </xdr:nvSpPr>
      <xdr:spPr>
        <a:xfrm>
          <a:off x="123824" y="1895475"/>
          <a:ext cx="1428751" cy="28575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200"/>
            <a:t>CONSULTAS</a:t>
          </a:r>
        </a:p>
      </xdr:txBody>
    </xdr:sp>
    <xdr:clientData/>
  </xdr:twoCellAnchor>
  <xdr:twoCellAnchor>
    <xdr:from>
      <xdr:col>2</xdr:col>
      <xdr:colOff>714374</xdr:colOff>
      <xdr:row>9</xdr:row>
      <xdr:rowOff>114300</xdr:rowOff>
    </xdr:from>
    <xdr:to>
      <xdr:col>3</xdr:col>
      <xdr:colOff>95250</xdr:colOff>
      <xdr:row>11</xdr:row>
      <xdr:rowOff>19050</xdr:rowOff>
    </xdr:to>
    <xdr:sp macro="[0]!agregar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A0B59B11-5857-4FE8-94FC-B5A055BF1C2D}"/>
            </a:ext>
          </a:extLst>
        </xdr:cNvPr>
        <xdr:cNvSpPr/>
      </xdr:nvSpPr>
      <xdr:spPr>
        <a:xfrm>
          <a:off x="1609724" y="1895475"/>
          <a:ext cx="1428751" cy="28575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100"/>
            <a:t>AGREGAR</a:t>
          </a:r>
        </a:p>
      </xdr:txBody>
    </xdr:sp>
    <xdr:clientData/>
  </xdr:twoCellAnchor>
  <xdr:twoCellAnchor>
    <xdr:from>
      <xdr:col>4</xdr:col>
      <xdr:colOff>28574</xdr:colOff>
      <xdr:row>9</xdr:row>
      <xdr:rowOff>123825</xdr:rowOff>
    </xdr:from>
    <xdr:to>
      <xdr:col>5</xdr:col>
      <xdr:colOff>695325</xdr:colOff>
      <xdr:row>11</xdr:row>
      <xdr:rowOff>28575</xdr:rowOff>
    </xdr:to>
    <xdr:sp macro="[0]!limpiar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28CD68E-AB80-4030-8924-4170BC9CEDCA}"/>
            </a:ext>
          </a:extLst>
        </xdr:cNvPr>
        <xdr:cNvSpPr/>
      </xdr:nvSpPr>
      <xdr:spPr>
        <a:xfrm>
          <a:off x="3105149" y="1905000"/>
          <a:ext cx="1428751" cy="28575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100"/>
            <a:t>LIMPIAR</a:t>
          </a:r>
        </a:p>
      </xdr:txBody>
    </xdr:sp>
    <xdr:clientData/>
  </xdr:twoCellAnchor>
  <xdr:twoCellAnchor>
    <xdr:from>
      <xdr:col>5</xdr:col>
      <xdr:colOff>752474</xdr:colOff>
      <xdr:row>9</xdr:row>
      <xdr:rowOff>123825</xdr:rowOff>
    </xdr:from>
    <xdr:to>
      <xdr:col>7</xdr:col>
      <xdr:colOff>0</xdr:colOff>
      <xdr:row>11</xdr:row>
      <xdr:rowOff>28575</xdr:rowOff>
    </xdr:to>
    <xdr:sp macro="[0]!guardar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D81B7C75-877D-4351-80CF-38BE91A2526A}"/>
            </a:ext>
          </a:extLst>
        </xdr:cNvPr>
        <xdr:cNvSpPr/>
      </xdr:nvSpPr>
      <xdr:spPr>
        <a:xfrm>
          <a:off x="4591049" y="1905000"/>
          <a:ext cx="1428751" cy="285750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BO" sz="1100"/>
            <a:t>GUARDAR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145516-E7D6-41DB-816A-8EC75E6B0FEE}" name="Tabla1" displayName="Tabla1" ref="A1:E11" totalsRowShown="0">
  <autoFilter ref="A1:E11" xr:uid="{DF145516-E7D6-41DB-816A-8EC75E6B0FEE}"/>
  <tableColumns count="5">
    <tableColumn id="1" xr3:uid="{5EAD4E98-E75A-4209-8970-CADA0C6C25F5}" name="CI"/>
    <tableColumn id="2" xr3:uid="{264039F7-14A0-491D-B15B-F2BDBAF56F23}" name="NOMBRES"/>
    <tableColumn id="3" xr3:uid="{36BAEC56-550F-49BC-91A9-A8AFE91654A8}" name="APELLIDOS"/>
    <tableColumn id="4" xr3:uid="{3C9C9A7F-E99E-4189-B3FD-F8D92F4FC923}" name="DIRECCION"/>
    <tableColumn id="5" xr3:uid="{0FC4110F-8EB6-48A4-B5D2-AF6B2F95C8CE}" name="TELEFO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9065C-9EBA-48B3-9F27-BA3D2CABDBC7}">
  <sheetPr codeName="Hoja1"/>
  <dimension ref="A1:G9"/>
  <sheetViews>
    <sheetView showGridLines="0" tabSelected="1" zoomScale="140" zoomScaleNormal="140" workbookViewId="0"/>
  </sheetViews>
  <sheetFormatPr baseColWidth="10" defaultRowHeight="15" x14ac:dyDescent="0.25"/>
  <cols>
    <col min="1" max="1" width="2" bestFit="1" customWidth="1"/>
    <col min="3" max="3" width="30.7109375" customWidth="1"/>
    <col min="4" max="4" width="2" bestFit="1" customWidth="1"/>
    <col min="6" max="6" width="30.7109375" customWidth="1"/>
    <col min="7" max="7" width="2" bestFit="1" customWidth="1"/>
  </cols>
  <sheetData>
    <row r="1" spans="1:7" ht="15" customHeight="1" x14ac:dyDescent="0.25">
      <c r="A1" s="1"/>
      <c r="B1" s="12" t="s">
        <v>0</v>
      </c>
      <c r="C1" s="13"/>
      <c r="D1" s="13"/>
      <c r="E1" s="13"/>
      <c r="F1" s="13"/>
      <c r="G1" s="14"/>
    </row>
    <row r="2" spans="1:7" ht="15" customHeight="1" x14ac:dyDescent="0.25">
      <c r="A2" s="1"/>
      <c r="B2" s="15"/>
      <c r="C2" s="16"/>
      <c r="D2" s="16"/>
      <c r="E2" s="16"/>
      <c r="F2" s="16"/>
      <c r="G2" s="17"/>
    </row>
    <row r="3" spans="1:7" ht="15.75" thickBot="1" x14ac:dyDescent="0.3">
      <c r="B3" s="2"/>
      <c r="C3" s="3"/>
      <c r="D3" s="3"/>
      <c r="E3" s="3"/>
      <c r="F3" s="3"/>
      <c r="G3" s="4"/>
    </row>
    <row r="4" spans="1:7" ht="15.75" thickBot="1" x14ac:dyDescent="0.3">
      <c r="B4" s="2" t="s">
        <v>1</v>
      </c>
      <c r="C4" s="8" t="s">
        <v>31</v>
      </c>
      <c r="D4" s="3"/>
      <c r="E4" s="3" t="s">
        <v>4</v>
      </c>
      <c r="F4" s="9" t="s">
        <v>33</v>
      </c>
      <c r="G4" s="4"/>
    </row>
    <row r="5" spans="1:7" ht="15.75" thickBot="1" x14ac:dyDescent="0.3">
      <c r="B5" s="2"/>
      <c r="C5" s="3"/>
      <c r="D5" s="3"/>
      <c r="E5" s="3"/>
      <c r="F5" s="3"/>
      <c r="G5" s="4"/>
    </row>
    <row r="6" spans="1:7" ht="15.75" thickBot="1" x14ac:dyDescent="0.3">
      <c r="B6" s="2" t="s">
        <v>2</v>
      </c>
      <c r="C6" s="11" t="s">
        <v>32</v>
      </c>
      <c r="D6" s="3"/>
      <c r="E6" s="3" t="s">
        <v>5</v>
      </c>
      <c r="F6" s="9">
        <v>78452356</v>
      </c>
      <c r="G6" s="4"/>
    </row>
    <row r="7" spans="1:7" ht="15.75" thickBot="1" x14ac:dyDescent="0.3">
      <c r="B7" s="2"/>
      <c r="C7" s="3"/>
      <c r="D7" s="3"/>
      <c r="E7" s="3"/>
      <c r="F7" s="3"/>
      <c r="G7" s="4"/>
    </row>
    <row r="8" spans="1:7" ht="15.75" thickBot="1" x14ac:dyDescent="0.3">
      <c r="B8" s="2" t="s">
        <v>3</v>
      </c>
      <c r="C8" s="9" t="s">
        <v>12</v>
      </c>
      <c r="D8" s="3"/>
      <c r="E8" s="3"/>
      <c r="F8" s="3"/>
      <c r="G8" s="4"/>
    </row>
    <row r="9" spans="1:7" ht="15.75" thickBot="1" x14ac:dyDescent="0.3">
      <c r="B9" s="5"/>
      <c r="C9" s="6"/>
      <c r="D9" s="6"/>
      <c r="E9" s="6"/>
      <c r="F9" s="6"/>
      <c r="G9" s="7"/>
    </row>
  </sheetData>
  <mergeCells count="1">
    <mergeCell ref="B1:G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CB1A6-9041-4E65-91A5-E5171F844801}">
  <sheetPr codeName="Hoja2"/>
  <dimension ref="A1:E11"/>
  <sheetViews>
    <sheetView zoomScale="140" zoomScaleNormal="140" workbookViewId="0">
      <selection activeCell="E2" sqref="E2"/>
    </sheetView>
  </sheetViews>
  <sheetFormatPr baseColWidth="10" defaultRowHeight="15" x14ac:dyDescent="0.25"/>
  <cols>
    <col min="1" max="3" width="15.7109375" customWidth="1"/>
    <col min="4" max="4" width="30.7109375" customWidth="1"/>
    <col min="5" max="5" width="12.7109375" customWidth="1"/>
  </cols>
  <sheetData>
    <row r="1" spans="1:5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25">
      <c r="A2" t="s">
        <v>31</v>
      </c>
      <c r="B2" t="s">
        <v>32</v>
      </c>
      <c r="C2" t="s">
        <v>12</v>
      </c>
      <c r="D2" t="s">
        <v>33</v>
      </c>
      <c r="E2">
        <v>78452356</v>
      </c>
    </row>
    <row r="3" spans="1:5" x14ac:dyDescent="0.25">
      <c r="A3">
        <v>7856125</v>
      </c>
      <c r="B3" t="s">
        <v>28</v>
      </c>
      <c r="C3" t="s">
        <v>29</v>
      </c>
      <c r="D3" t="s">
        <v>30</v>
      </c>
      <c r="E3">
        <v>67812354</v>
      </c>
    </row>
    <row r="4" spans="1:5" x14ac:dyDescent="0.25">
      <c r="A4">
        <v>6894512</v>
      </c>
      <c r="B4" t="s">
        <v>25</v>
      </c>
      <c r="C4" t="s">
        <v>26</v>
      </c>
      <c r="D4" t="s">
        <v>27</v>
      </c>
      <c r="E4">
        <v>74512698</v>
      </c>
    </row>
    <row r="5" spans="1:5" x14ac:dyDescent="0.25">
      <c r="A5">
        <v>7823545</v>
      </c>
      <c r="B5" t="s">
        <v>24</v>
      </c>
      <c r="C5" t="s">
        <v>12</v>
      </c>
      <c r="D5" t="s">
        <v>18</v>
      </c>
      <c r="E5">
        <v>75223569</v>
      </c>
    </row>
    <row r="6" spans="1:5" x14ac:dyDescent="0.25">
      <c r="A6">
        <v>6895213</v>
      </c>
      <c r="B6" t="s">
        <v>22</v>
      </c>
      <c r="C6" t="s">
        <v>12</v>
      </c>
      <c r="D6" t="s">
        <v>23</v>
      </c>
      <c r="E6">
        <v>72563898</v>
      </c>
    </row>
    <row r="7" spans="1:5" x14ac:dyDescent="0.25">
      <c r="A7">
        <v>4512568</v>
      </c>
      <c r="B7" t="s">
        <v>19</v>
      </c>
      <c r="C7" t="s">
        <v>20</v>
      </c>
      <c r="D7" t="s">
        <v>21</v>
      </c>
      <c r="E7">
        <v>6894512</v>
      </c>
    </row>
    <row r="8" spans="1:5" x14ac:dyDescent="0.25">
      <c r="A8">
        <v>4587895</v>
      </c>
      <c r="B8" t="s">
        <v>16</v>
      </c>
      <c r="C8" t="s">
        <v>17</v>
      </c>
      <c r="D8" t="s">
        <v>18</v>
      </c>
      <c r="E8">
        <v>7895623</v>
      </c>
    </row>
    <row r="9" spans="1:5" x14ac:dyDescent="0.25">
      <c r="A9">
        <v>7259821</v>
      </c>
      <c r="B9" t="s">
        <v>14</v>
      </c>
      <c r="C9" t="s">
        <v>15</v>
      </c>
      <c r="D9" t="s">
        <v>13</v>
      </c>
      <c r="E9">
        <v>45785612</v>
      </c>
    </row>
    <row r="10" spans="1:5" x14ac:dyDescent="0.25">
      <c r="A10">
        <v>7259821</v>
      </c>
      <c r="B10" t="s">
        <v>14</v>
      </c>
      <c r="C10" t="s">
        <v>15</v>
      </c>
      <c r="D10" t="s">
        <v>13</v>
      </c>
      <c r="E10">
        <v>45785612</v>
      </c>
    </row>
    <row r="11" spans="1:5" x14ac:dyDescent="0.25">
      <c r="A11">
        <v>7380630</v>
      </c>
      <c r="B11" t="s">
        <v>11</v>
      </c>
      <c r="C11" t="s">
        <v>12</v>
      </c>
      <c r="D11" t="s">
        <v>13</v>
      </c>
      <c r="E11">
        <v>74589521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9CC1E-F24F-4BFE-9852-19037A572CB3}">
  <sheetPr codeName="Hoja3"/>
  <dimension ref="A1:E2"/>
  <sheetViews>
    <sheetView workbookViewId="0">
      <selection activeCell="E2" sqref="E2"/>
    </sheetView>
  </sheetViews>
  <sheetFormatPr baseColWidth="10" defaultRowHeight="15" x14ac:dyDescent="0.25"/>
  <cols>
    <col min="1" max="3" width="15.7109375" customWidth="1"/>
    <col min="4" max="4" width="30.7109375" customWidth="1"/>
    <col min="5" max="5" width="15.7109375" customWidth="1"/>
  </cols>
  <sheetData>
    <row r="1" spans="1:5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</row>
    <row r="2" spans="1:5" x14ac:dyDescent="0.25">
      <c r="A2" s="10">
        <v>7380630</v>
      </c>
      <c r="B2" t="str">
        <f>IFERROR(VLOOKUP(A2,'Base de Datos'!A:E,2,0),"")</f>
        <v>Henry</v>
      </c>
      <c r="C2" t="str">
        <f>IFERROR(VLOOKUP(A2,'Base de Datos'!A:E,3,0),"")</f>
        <v>Mayta</v>
      </c>
      <c r="D2" t="str">
        <f>IFERROR(VLOOKUP(A2,'Base de Datos'!A:E,4,0),"")</f>
        <v>Ayacucho entre petot y linares</v>
      </c>
      <c r="E2">
        <f>IFERROR(VLOOKUP(A2,'Base de Datos'!A:E,5,0),"")</f>
        <v>74589521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Interfaz</vt:lpstr>
      <vt:lpstr>Base de Datos</vt:lpstr>
      <vt:lpstr>Dato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mayta mamani</dc:creator>
  <cp:lastModifiedBy>henry mayta mamani</cp:lastModifiedBy>
  <dcterms:created xsi:type="dcterms:W3CDTF">2025-06-14T22:00:39Z</dcterms:created>
  <dcterms:modified xsi:type="dcterms:W3CDTF">2025-06-14T23:51:12Z</dcterms:modified>
</cp:coreProperties>
</file>